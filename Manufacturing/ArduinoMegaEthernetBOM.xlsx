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REV1.0" sheetId="1" r:id="rId4"/>
  </sheets>
  <definedNames/>
  <calcPr/>
</workbook>
</file>

<file path=xl/sharedStrings.xml><?xml version="1.0" encoding="utf-8"?>
<sst xmlns="http://schemas.openxmlformats.org/spreadsheetml/2006/main" count="307" uniqueCount="195">
  <si>
    <t>Arduino Mega with Ethernet</t>
  </si>
  <si>
    <t>Item #</t>
  </si>
  <si>
    <t>Designator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</si>
  <si>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</si>
  <si>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</si>
  <si>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t>Mfg Part #</t>
  </si>
  <si>
    <t>Description / Value</t>
  </si>
  <si>
    <t xml:space="preserve">Package/Footprint </t>
  </si>
  <si>
    <t>Type</t>
  </si>
  <si>
    <t>Your Instructions / Notes</t>
  </si>
  <si>
    <t xml:space="preserve"> Unit Cost</t>
  </si>
  <si>
    <t>Per Board Cost</t>
  </si>
  <si>
    <t>BT1</t>
  </si>
  <si>
    <t>JST Sales America Inc.</t>
  </si>
  <si>
    <t>B2B-PH-K-S</t>
  </si>
  <si>
    <t>CONN HEADER VERT 2POS 2MM</t>
  </si>
  <si>
    <t>JST_PH_B2B-PH-K_1x02_P2.00mm_Vertical</t>
  </si>
  <si>
    <t>THT</t>
  </si>
  <si>
    <t>N/A</t>
  </si>
  <si>
    <t>C1, C7-C9, C11, C12, C14-C19, C21, C22, C24-C27, C29, C32, C37, C40, C42, C47, C50</t>
  </si>
  <si>
    <t>CCTC</t>
  </si>
  <si>
    <t>TCC0603X7R104K250CT</t>
  </si>
  <si>
    <t>CAP CER 0.1UF 25V X7R 0603</t>
  </si>
  <si>
    <t>C_0603_1608Metric</t>
  </si>
  <si>
    <t>SMD</t>
  </si>
  <si>
    <t>C2, C3, C4</t>
  </si>
  <si>
    <t xml:space="preserve">Walsin Technology </t>
  </si>
  <si>
    <t>0603N220J500CT</t>
  </si>
  <si>
    <t>CAP CER 22PF 50V C0G/NP0 0603</t>
  </si>
  <si>
    <t>C5, C13, C23, C35, C36, C38</t>
  </si>
  <si>
    <t>TCC0805X5R106K500FT</t>
  </si>
  <si>
    <t>50V 10uF X5R ±10% 0805</t>
  </si>
  <si>
    <t>C_0805_2012Metric</t>
  </si>
  <si>
    <t>C6, C20, C34, C39, C41, C43, C46</t>
  </si>
  <si>
    <t>TCC0603X7R105K160CT</t>
  </si>
  <si>
    <t>16V 1uF X7R ±10% 0603</t>
  </si>
  <si>
    <t>C10, C21</t>
  </si>
  <si>
    <t>Murata Electronics</t>
  </si>
  <si>
    <t>GRM21BR71C475KE51K</t>
  </si>
  <si>
    <t>CAP CER 4.7UF 16V X7R 0805</t>
  </si>
  <si>
    <t>C28, C30</t>
  </si>
  <si>
    <t>GJM1555C1H180GB01D</t>
  </si>
  <si>
    <t>CAP CER 18PF 50V C0G/NP0 0402</t>
  </si>
  <si>
    <t>C31, C33, C48, C49</t>
  </si>
  <si>
    <t>Samsung Electro-Mechanics</t>
  </si>
  <si>
    <t>CL31B226KPHNNNE</t>
  </si>
  <si>
    <t>CAP CER 22UF 10V X7R 1206</t>
  </si>
  <si>
    <t>C_0805_2012Metric_Pad1.18x1.45mm</t>
  </si>
  <si>
    <t>C44, C45</t>
  </si>
  <si>
    <t>YAGEO</t>
  </si>
  <si>
    <t>CC0402JRNPO9BN120</t>
  </si>
  <si>
    <t>CAP CER 12PF 50V C0G/NPO 0402</t>
  </si>
  <si>
    <t>C_0402_1005Metric</t>
  </si>
  <si>
    <t>F1</t>
  </si>
  <si>
    <t>SMD1206B200TF</t>
  </si>
  <si>
    <t>PTC RESET FUSE 6V 2A 1206</t>
  </si>
  <si>
    <t>Fuse_1206_3216Metric</t>
  </si>
  <si>
    <t>FB1-FB4</t>
  </si>
  <si>
    <t>BLM18KG121TN1D</t>
  </si>
  <si>
    <t>FERRITE BEAD 120 OHM 0603 1LN</t>
  </si>
  <si>
    <t>L_0603_1608Metric</t>
  </si>
  <si>
    <t>J1</t>
  </si>
  <si>
    <t>WIZNET</t>
  </si>
  <si>
    <t>RB1-125BAG1A</t>
  </si>
  <si>
    <t>RJ45Receptacle 1 Shielded Right-Angle cat</t>
  </si>
  <si>
    <t>RJ45_Amphenol_RJMG1BD3B8K1ANR</t>
  </si>
  <si>
    <t>J2, J3, J4, J5, J6</t>
  </si>
  <si>
    <t>XFCN</t>
  </si>
  <si>
    <t>PZ254V-11-03P</t>
  </si>
  <si>
    <t>CONN HEADER VERT 3POS 2.54MM</t>
  </si>
  <si>
    <t>PinHeader_1x03_P2.54mm_Vertical</t>
  </si>
  <si>
    <t>J7</t>
  </si>
  <si>
    <t>PZ254V-11-02P</t>
  </si>
  <si>
    <t>CONN HEADER VERT 2POS 2.54MM</t>
  </si>
  <si>
    <t>PinHeader_1x02_P2.54mm_Vertical</t>
  </si>
  <si>
    <t>J9</t>
  </si>
  <si>
    <t xml:space="preserve">Same Sky </t>
  </si>
  <si>
    <t>UJ20-C-H-G-SMT-P16-TR</t>
  </si>
  <si>
    <t>USB JACK, TYPE C, 2.0, HORIZONTAL</t>
  </si>
  <si>
    <t>USB_C_Receptacle_HRO_TYPE-C-31-M-12</t>
  </si>
  <si>
    <t>J11</t>
  </si>
  <si>
    <t>Hirose Electric Co Ltd</t>
  </si>
  <si>
    <t>DM3AT-SF-PEJM5</t>
  </si>
  <si>
    <t>CONN MICRO SD CARD R/A SMD</t>
  </si>
  <si>
    <t>microSD_HC_Hirose_DM3AT-SF-PEJM5</t>
  </si>
  <si>
    <t>L1, L2</t>
  </si>
  <si>
    <t>Taiyo Yuden</t>
  </si>
  <si>
    <t>NRS6028T4R7MMGKV</t>
  </si>
  <si>
    <t>FIXED IND 4.7UH 3A 40.3 MOHM SMD</t>
  </si>
  <si>
    <t>0.236" L x 0.236" W (6.00mm x 6.00mm)</t>
  </si>
  <si>
    <t>R1, R2, R6, R9, R10, R13</t>
  </si>
  <si>
    <t>FOJAN</t>
  </si>
  <si>
    <t>FRC0603F1002TS</t>
  </si>
  <si>
    <t>RES 10K OHM 1% 1/10W 0603</t>
  </si>
  <si>
    <t>R_0603_1608Metric</t>
  </si>
  <si>
    <t>R3, R34</t>
  </si>
  <si>
    <t>AC0603FR-101ML</t>
  </si>
  <si>
    <t>RES 1M OHM 1% 1/10W 0603</t>
  </si>
  <si>
    <t>R4, R5, R7</t>
  </si>
  <si>
    <t>RC0603FR-075K1L</t>
  </si>
  <si>
    <t>RES 5.1K OHM 1% 1/10W 0603</t>
  </si>
  <si>
    <t>R8</t>
  </si>
  <si>
    <t>DNP</t>
  </si>
  <si>
    <t>DO NOT PLACE</t>
  </si>
  <si>
    <t>R11</t>
  </si>
  <si>
    <t>RC0603FR-0722K1L</t>
  </si>
  <si>
    <t>RES 22.1K OHM 1% 1/10W 0603</t>
  </si>
  <si>
    <t>R12</t>
  </si>
  <si>
    <t>RC0603FR-0747K5L</t>
  </si>
  <si>
    <t>RES 47.5K OHM 1% 1/10W 0603</t>
  </si>
  <si>
    <t>R14-R16, R31, R32, R38-R40</t>
  </si>
  <si>
    <t>FRC0603F4701TS</t>
  </si>
  <si>
    <t>RES 4.7K OHM 1% 1/10W 0603</t>
  </si>
  <si>
    <t>R18, R20</t>
  </si>
  <si>
    <t>RC0603FR-07470RL</t>
  </si>
  <si>
    <t>RES 470 OHM 1% 1/10W 0603</t>
  </si>
  <si>
    <t>R23, R25, R35, R36</t>
  </si>
  <si>
    <t>RC0603FR-0749R9L</t>
  </si>
  <si>
    <t>RES 49.9R OHM 1% 1/10W 0603</t>
  </si>
  <si>
    <t>R27-R30</t>
  </si>
  <si>
    <t>Vishay Intertech</t>
  </si>
  <si>
    <t>CRCW06033R30FKEAHP</t>
  </si>
  <si>
    <t>±1% 3.3Ω 333mW 0603</t>
  </si>
  <si>
    <t>R33</t>
  </si>
  <si>
    <t>KOA Speer Electronics, Inc.</t>
  </si>
  <si>
    <t>RN73R1JTTD1232F100</t>
  </si>
  <si>
    <t>RES 12.3K OHM 1% 1/10W 0603</t>
  </si>
  <si>
    <t>SW1</t>
  </si>
  <si>
    <t>Alps Alpine</t>
  </si>
  <si>
    <t>SKRKAHE020</t>
  </si>
  <si>
    <t>SWITCH TACTILE SPST-NO 0.05A 12V</t>
  </si>
  <si>
    <t>SW_SPST_PTS645</t>
  </si>
  <si>
    <t>U1</t>
  </si>
  <si>
    <t>Microchip Technology</t>
  </si>
  <si>
    <t>ATMEGA2560-16AU</t>
  </si>
  <si>
    <t>IC MCU 8BIT 256KB FLASH 100TQFP</t>
  </si>
  <si>
    <t>TQFP-100_14x14mm_P0.5mm</t>
  </si>
  <si>
    <t>U2</t>
  </si>
  <si>
    <t>WCH(Jiangsu Qin Heng)</t>
  </si>
  <si>
    <t>CH340C</t>
  </si>
  <si>
    <t xml:space="preserve">2Mbps transceiver USB 2.0 SOP-16 USB </t>
  </si>
  <si>
    <t>SOIC-16_3.9x9.9mm_P1.27mm</t>
  </si>
  <si>
    <t>U3</t>
  </si>
  <si>
    <t>STMicroelectronics</t>
  </si>
  <si>
    <t>ISM330DHCXTR</t>
  </si>
  <si>
    <t>INEMO INERTIAL MODULE: ALWAYS-ON</t>
  </si>
  <si>
    <t>LGA-14_3x2.5mm_P0.5mm_LayoutBorder3x4y</t>
  </si>
  <si>
    <t>U4</t>
  </si>
  <si>
    <t>WIZnet</t>
  </si>
  <si>
    <t>W6100-LQFP</t>
  </si>
  <si>
    <t>IC CTLR 3-1 ETH TCP/IP 48LQFP</t>
  </si>
  <si>
    <t>LQFP-48_7x7mm_P0.5mm</t>
  </si>
  <si>
    <t>U5</t>
  </si>
  <si>
    <t>Diodes Incorporated</t>
  </si>
  <si>
    <t>AP63205QWU-7</t>
  </si>
  <si>
    <t>IC REG BUCK 5V 2A TSOT23-6</t>
  </si>
  <si>
    <t>TSOT-23-6</t>
  </si>
  <si>
    <t>U6</t>
  </si>
  <si>
    <t>AP63203WU-7</t>
  </si>
  <si>
    <t>IC REG BUCK 3.3V 2A TSOT23-6</t>
  </si>
  <si>
    <t>U7</t>
  </si>
  <si>
    <t>NXP USA Inc.</t>
  </si>
  <si>
    <t>SE050C2HQ1/Z01SDZ</t>
  </si>
  <si>
    <t>IC IOT SECURE ELEMENT 20-HX2QFN</t>
  </si>
  <si>
    <t>QFN-20-1EP_3x3mm_P0.4mm_EP1.65x1.65mm</t>
  </si>
  <si>
    <t>U8</t>
  </si>
  <si>
    <t>AP22804AW5-7</t>
  </si>
  <si>
    <t>IC PWR SWITCH P-CHAN 1:1 SOT25</t>
  </si>
  <si>
    <t>SOT-23-5</t>
  </si>
  <si>
    <t>U9</t>
  </si>
  <si>
    <t>MCP7940N-E/MS</t>
  </si>
  <si>
    <t>IC RTC CLK/CALENDAR I2C 8MSOP</t>
  </si>
  <si>
    <t>MSOP-8_3x3mm_P0.65mm</t>
  </si>
  <si>
    <t>U10</t>
  </si>
  <si>
    <t>Texas Instruments</t>
  </si>
  <si>
    <t>TXS0108EPWR</t>
  </si>
  <si>
    <t>IC TRANSLATOR BIDIR 20TSSOP</t>
  </si>
  <si>
    <t>TSSOP-20_4.4x6.5mm_P0.65mm</t>
  </si>
  <si>
    <t>Y1</t>
  </si>
  <si>
    <t>YXC Crystal Oscillators</t>
  </si>
  <si>
    <t>X322516MOB4SI</t>
  </si>
  <si>
    <t>CRYSTAL 16.0000MHZ 12PF SMD</t>
  </si>
  <si>
    <t>Crystal_SMD_3225-4Pin_3.2x2.5mm</t>
  </si>
  <si>
    <t>Y2</t>
  </si>
  <si>
    <t>Raltron Electronics</t>
  </si>
  <si>
    <t>RH100-25.000-10-F-2030-EXT-TR</t>
  </si>
  <si>
    <t>CRYSTAL 25.0000MHZ 10PF SMD</t>
  </si>
  <si>
    <t>Y3</t>
  </si>
  <si>
    <t>YIC</t>
  </si>
  <si>
    <t>32.768K7PI/3215E</t>
  </si>
  <si>
    <t>CRYSTAL 32.7680KHZ 7PF SMD</t>
  </si>
  <si>
    <t>0.126" L x 0.059" W (3.20mm x 1.50mm)</t>
  </si>
  <si>
    <t>Total Cost Per Board:</t>
  </si>
  <si>
    <t>Manufacturing Cost: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</si>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</sst>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"/>
    <numFmt numFmtId="165" formatCode="&quot;$&quot;#,##0.00"/>
  </numFmts>
  <fonts count="8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sz val="10.0"/>
      <color theme="1"/>
      <name val="Arial"/>
    </font>
    <font>
      <color theme="1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164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readingOrder="0" vertical="bottom"/>
    </xf>
    <xf borderId="1" fillId="0" fontId="6" numFmtId="0" xfId="0" applyAlignment="1" applyBorder="1" applyFont="1">
      <alignment readingOrder="0" vertical="center"/>
    </xf>
    <xf borderId="1" fillId="4" fontId="6" numFmtId="0" xfId="0" applyAlignment="1" applyBorder="1" applyFill="1" applyFont="1">
      <alignment vertical="center"/>
    </xf>
    <xf borderId="1" fillId="4" fontId="1" numFmtId="0" xfId="0" applyAlignment="1" applyBorder="1" applyFont="1">
      <alignment readingOrder="0" vertical="center"/>
    </xf>
    <xf borderId="1" fillId="4" fontId="5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center"/>
    </xf>
    <xf borderId="1" fillId="4" fontId="5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2" fillId="3" fontId="4" numFmtId="0" xfId="0" applyAlignment="1" applyBorder="1" applyFont="1">
      <alignment horizontal="right" readingOrder="0" vertical="center"/>
    </xf>
    <xf borderId="3" fillId="0" fontId="7" numFmtId="0" xfId="0" applyAlignment="1" applyBorder="1" applyFont="1">
      <alignment vertical="center"/>
    </xf>
    <xf borderId="1" fillId="0" fontId="5" numFmtId="165" xfId="0" applyAlignment="1" applyBorder="1" applyFont="1" applyNumberFormat="1">
      <alignment vertical="bottom"/>
    </xf>
    <xf borderId="2" fillId="2" fontId="3" numFmtId="0" xfId="0" applyAlignment="1" applyBorder="1" applyFont="1">
      <alignment horizontal="right" readingOrder="0" vertical="center"/>
    </xf>
    <xf borderId="1" fillId="3" fontId="4" numFmtId="0" xfId="0" applyAlignment="1" applyBorder="1" applyFont="1">
      <alignment horizontal="right"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86.0"/>
    <col customWidth="1" min="3" max="3" width="9.0"/>
    <col customWidth="1" min="4" max="4" width="27.86"/>
    <col customWidth="1" min="5" max="5" width="33.57"/>
    <col customWidth="1" min="6" max="6" width="41.57"/>
    <col customWidth="1" min="7" max="7" width="47.43"/>
    <col customWidth="1" min="8" max="8" width="9.0"/>
    <col customWidth="1" min="9" max="9" width="30.29"/>
    <col customWidth="1" min="10" max="10" width="10.57"/>
    <col customWidth="1" min="11" max="11" width="16.57"/>
    <col customWidth="1" min="12" max="26" width="9.0"/>
  </cols>
  <sheetData>
    <row r="1" ht="19.5" customHeight="1">
      <c r="A1" s="1"/>
      <c r="B1" s="1"/>
      <c r="C1" s="2"/>
      <c r="D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1"/>
      <c r="C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8.5" customHeight="1">
      <c r="A4" s="4" t="s">
        <v>1</v>
      </c>
      <c r="B4" s="5" t="s">
        <v>2</v>
      </c>
      <c r="C4" s="6" t="s">
        <v>3</v>
      </c>
      <c r="D4" s="4" t="s">
        <v>4</v>
      </c>
      <c r="E4" s="7" t="s">
        <v>5</v>
      </c>
      <c r="F4" s="4" t="s">
        <v>6</v>
      </c>
      <c r="G4" s="5" t="s">
        <v>7</v>
      </c>
      <c r="H4" s="4" t="s">
        <v>8</v>
      </c>
      <c r="I4" s="4" t="s">
        <v>9</v>
      </c>
      <c r="J4" s="8" t="s">
        <v>10</v>
      </c>
      <c r="K4" s="8" t="s">
        <v>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>
        <v>1.0</v>
      </c>
      <c r="B5" s="10" t="s">
        <v>12</v>
      </c>
      <c r="C5" s="11">
        <v>1.0</v>
      </c>
      <c r="D5" s="12" t="s">
        <v>13</v>
      </c>
      <c r="E5" s="12" t="s">
        <v>14</v>
      </c>
      <c r="F5" s="12" t="s">
        <v>15</v>
      </c>
      <c r="G5" s="10" t="s">
        <v>16</v>
      </c>
      <c r="H5" s="13" t="s">
        <v>17</v>
      </c>
      <c r="I5" s="9" t="s">
        <v>18</v>
      </c>
      <c r="J5" s="14">
        <v>0.12</v>
      </c>
      <c r="K5" s="14">
        <f t="shared" ref="K5:K46" si="1">J5*C5</f>
        <v>0.12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">
        <v>2.0</v>
      </c>
      <c r="B6" s="10" t="s">
        <v>19</v>
      </c>
      <c r="C6" s="11">
        <v>25.0</v>
      </c>
      <c r="D6" s="12" t="s">
        <v>20</v>
      </c>
      <c r="E6" s="12" t="s">
        <v>21</v>
      </c>
      <c r="F6" s="12" t="s">
        <v>22</v>
      </c>
      <c r="G6" s="10" t="s">
        <v>23</v>
      </c>
      <c r="H6" s="13" t="s">
        <v>24</v>
      </c>
      <c r="I6" s="9" t="s">
        <v>18</v>
      </c>
      <c r="J6" s="15">
        <v>0.0021</v>
      </c>
      <c r="K6" s="14">
        <f t="shared" si="1"/>
        <v>0.0525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9">
        <v>3.0</v>
      </c>
      <c r="B7" s="10" t="s">
        <v>25</v>
      </c>
      <c r="C7" s="11">
        <v>3.0</v>
      </c>
      <c r="D7" s="12" t="s">
        <v>26</v>
      </c>
      <c r="E7" s="12" t="s">
        <v>27</v>
      </c>
      <c r="F7" s="12" t="s">
        <v>28</v>
      </c>
      <c r="G7" s="10" t="s">
        <v>23</v>
      </c>
      <c r="H7" s="13" t="s">
        <v>24</v>
      </c>
      <c r="I7" s="9" t="s">
        <v>18</v>
      </c>
      <c r="J7" s="15">
        <v>0.1</v>
      </c>
      <c r="K7" s="14">
        <f t="shared" si="1"/>
        <v>0.3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9">
        <v>4.0</v>
      </c>
      <c r="B8" s="10" t="s">
        <v>29</v>
      </c>
      <c r="C8" s="11">
        <v>6.0</v>
      </c>
      <c r="D8" s="12" t="s">
        <v>20</v>
      </c>
      <c r="E8" s="12" t="s">
        <v>30</v>
      </c>
      <c r="F8" s="12" t="s">
        <v>31</v>
      </c>
      <c r="G8" s="10" t="s">
        <v>32</v>
      </c>
      <c r="H8" s="13" t="s">
        <v>24</v>
      </c>
      <c r="I8" s="9" t="s">
        <v>18</v>
      </c>
      <c r="J8" s="15">
        <v>0.0419</v>
      </c>
      <c r="K8" s="14">
        <f t="shared" si="1"/>
        <v>0.2514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>
        <v>5.0</v>
      </c>
      <c r="B9" s="10" t="s">
        <v>33</v>
      </c>
      <c r="C9" s="11">
        <v>7.0</v>
      </c>
      <c r="D9" s="12" t="s">
        <v>20</v>
      </c>
      <c r="E9" s="12" t="s">
        <v>34</v>
      </c>
      <c r="F9" s="12" t="s">
        <v>35</v>
      </c>
      <c r="G9" s="10" t="s">
        <v>23</v>
      </c>
      <c r="H9" s="13" t="s">
        <v>24</v>
      </c>
      <c r="I9" s="9" t="s">
        <v>18</v>
      </c>
      <c r="J9" s="15">
        <v>0.0039</v>
      </c>
      <c r="K9" s="14">
        <f t="shared" si="1"/>
        <v>0.0273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9">
        <v>6.0</v>
      </c>
      <c r="B10" s="10" t="s">
        <v>36</v>
      </c>
      <c r="C10" s="11">
        <v>2.0</v>
      </c>
      <c r="D10" s="12" t="s">
        <v>37</v>
      </c>
      <c r="E10" s="12" t="s">
        <v>38</v>
      </c>
      <c r="F10" s="12" t="s">
        <v>39</v>
      </c>
      <c r="G10" s="10" t="s">
        <v>32</v>
      </c>
      <c r="H10" s="13" t="s">
        <v>24</v>
      </c>
      <c r="I10" s="9" t="s">
        <v>18</v>
      </c>
      <c r="J10" s="15">
        <v>0.12</v>
      </c>
      <c r="K10" s="14">
        <f t="shared" si="1"/>
        <v>0.24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>
        <v>7.0</v>
      </c>
      <c r="B11" s="10" t="s">
        <v>40</v>
      </c>
      <c r="C11" s="11">
        <v>2.0</v>
      </c>
      <c r="D11" s="12" t="s">
        <v>37</v>
      </c>
      <c r="E11" s="12" t="s">
        <v>41</v>
      </c>
      <c r="F11" s="12" t="s">
        <v>42</v>
      </c>
      <c r="G11" s="10" t="s">
        <v>23</v>
      </c>
      <c r="H11" s="13" t="s">
        <v>24</v>
      </c>
      <c r="I11" s="9" t="s">
        <v>18</v>
      </c>
      <c r="J11" s="15">
        <v>0.14</v>
      </c>
      <c r="K11" s="14">
        <f t="shared" si="1"/>
        <v>0.28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>
        <v>8.0</v>
      </c>
      <c r="B12" s="10" t="s">
        <v>43</v>
      </c>
      <c r="C12" s="11">
        <v>4.0</v>
      </c>
      <c r="D12" s="12" t="s">
        <v>44</v>
      </c>
      <c r="E12" s="12" t="s">
        <v>45</v>
      </c>
      <c r="F12" s="12" t="s">
        <v>46</v>
      </c>
      <c r="G12" s="10" t="s">
        <v>47</v>
      </c>
      <c r="H12" s="13" t="s">
        <v>24</v>
      </c>
      <c r="I12" s="9" t="s">
        <v>18</v>
      </c>
      <c r="J12" s="15">
        <v>0.0655</v>
      </c>
      <c r="K12" s="14">
        <f t="shared" si="1"/>
        <v>0.262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>
        <v>9.0</v>
      </c>
      <c r="B13" s="10" t="s">
        <v>48</v>
      </c>
      <c r="C13" s="11">
        <v>2.0</v>
      </c>
      <c r="D13" s="12" t="s">
        <v>49</v>
      </c>
      <c r="E13" s="12" t="s">
        <v>50</v>
      </c>
      <c r="F13" s="12" t="s">
        <v>51</v>
      </c>
      <c r="G13" s="10" t="s">
        <v>52</v>
      </c>
      <c r="H13" s="13" t="s">
        <v>24</v>
      </c>
      <c r="I13" s="9" t="s">
        <v>18</v>
      </c>
      <c r="J13" s="15">
        <v>0.02</v>
      </c>
      <c r="K13" s="14">
        <f t="shared" si="1"/>
        <v>0.04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9">
        <v>10.0</v>
      </c>
      <c r="B14" s="10" t="s">
        <v>53</v>
      </c>
      <c r="C14" s="11">
        <v>1.0</v>
      </c>
      <c r="D14" s="12" t="s">
        <v>49</v>
      </c>
      <c r="E14" s="12" t="s">
        <v>54</v>
      </c>
      <c r="F14" s="12" t="s">
        <v>55</v>
      </c>
      <c r="G14" s="10" t="s">
        <v>56</v>
      </c>
      <c r="H14" s="13" t="s">
        <v>24</v>
      </c>
      <c r="I14" s="9" t="s">
        <v>18</v>
      </c>
      <c r="J14" s="15">
        <v>0.13</v>
      </c>
      <c r="K14" s="14">
        <f t="shared" si="1"/>
        <v>0.13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>
        <v>11.0</v>
      </c>
      <c r="B15" s="10" t="s">
        <v>57</v>
      </c>
      <c r="C15" s="11">
        <v>4.0</v>
      </c>
      <c r="D15" s="12" t="s">
        <v>37</v>
      </c>
      <c r="E15" s="12" t="s">
        <v>58</v>
      </c>
      <c r="F15" s="12" t="s">
        <v>59</v>
      </c>
      <c r="G15" s="10" t="s">
        <v>60</v>
      </c>
      <c r="H15" s="13" t="s">
        <v>24</v>
      </c>
      <c r="I15" s="9" t="s">
        <v>18</v>
      </c>
      <c r="J15" s="15">
        <v>0.1</v>
      </c>
      <c r="K15" s="14">
        <f t="shared" si="1"/>
        <v>0.4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9">
        <v>12.0</v>
      </c>
      <c r="B16" s="10" t="s">
        <v>61</v>
      </c>
      <c r="C16" s="11">
        <v>1.0</v>
      </c>
      <c r="D16" s="10" t="s">
        <v>62</v>
      </c>
      <c r="E16" s="12" t="s">
        <v>63</v>
      </c>
      <c r="F16" s="12" t="s">
        <v>64</v>
      </c>
      <c r="G16" s="10" t="s">
        <v>65</v>
      </c>
      <c r="H16" s="13" t="s">
        <v>17</v>
      </c>
      <c r="I16" s="9" t="s">
        <v>18</v>
      </c>
      <c r="J16" s="15">
        <v>3.4</v>
      </c>
      <c r="K16" s="14">
        <f t="shared" si="1"/>
        <v>3.4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9">
        <v>13.0</v>
      </c>
      <c r="B17" s="10" t="s">
        <v>66</v>
      </c>
      <c r="C17" s="11">
        <v>5.0</v>
      </c>
      <c r="D17" s="12" t="s">
        <v>67</v>
      </c>
      <c r="E17" s="12" t="s">
        <v>68</v>
      </c>
      <c r="F17" s="12" t="s">
        <v>69</v>
      </c>
      <c r="G17" s="10" t="s">
        <v>70</v>
      </c>
      <c r="H17" s="13" t="s">
        <v>24</v>
      </c>
      <c r="I17" s="9" t="s">
        <v>18</v>
      </c>
      <c r="J17" s="15">
        <v>0.0149</v>
      </c>
      <c r="K17" s="14">
        <f t="shared" si="1"/>
        <v>0.0745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9">
        <v>14.0</v>
      </c>
      <c r="B18" s="10" t="s">
        <v>71</v>
      </c>
      <c r="C18" s="11">
        <v>1.0</v>
      </c>
      <c r="D18" s="12" t="s">
        <v>67</v>
      </c>
      <c r="E18" s="12" t="s">
        <v>72</v>
      </c>
      <c r="F18" s="12" t="s">
        <v>73</v>
      </c>
      <c r="G18" s="10" t="s">
        <v>74</v>
      </c>
      <c r="H18" s="13" t="s">
        <v>24</v>
      </c>
      <c r="I18" s="9" t="s">
        <v>18</v>
      </c>
      <c r="J18" s="15">
        <v>0.0131</v>
      </c>
      <c r="K18" s="14">
        <f t="shared" si="1"/>
        <v>0.0131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9">
        <v>15.0</v>
      </c>
      <c r="B19" s="10" t="s">
        <v>75</v>
      </c>
      <c r="C19" s="11">
        <v>1.0</v>
      </c>
      <c r="D19" s="10" t="s">
        <v>76</v>
      </c>
      <c r="E19" s="12" t="s">
        <v>77</v>
      </c>
      <c r="F19" s="12" t="s">
        <v>78</v>
      </c>
      <c r="G19" s="10" t="s">
        <v>79</v>
      </c>
      <c r="H19" s="13" t="s">
        <v>24</v>
      </c>
      <c r="I19" s="9" t="s">
        <v>18</v>
      </c>
      <c r="J19" s="15">
        <v>0.57</v>
      </c>
      <c r="K19" s="14">
        <f t="shared" si="1"/>
        <v>0.57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9">
        <v>16.0</v>
      </c>
      <c r="B20" s="10" t="s">
        <v>80</v>
      </c>
      <c r="C20" s="11">
        <v>1.0</v>
      </c>
      <c r="D20" s="10" t="s">
        <v>81</v>
      </c>
      <c r="E20" s="12" t="s">
        <v>82</v>
      </c>
      <c r="F20" s="12" t="s">
        <v>83</v>
      </c>
      <c r="G20" s="10" t="s">
        <v>84</v>
      </c>
      <c r="H20" s="13" t="s">
        <v>24</v>
      </c>
      <c r="I20" s="9" t="s">
        <v>18</v>
      </c>
      <c r="J20" s="15">
        <v>2.66</v>
      </c>
      <c r="K20" s="14">
        <f t="shared" si="1"/>
        <v>2.66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9">
        <v>17.0</v>
      </c>
      <c r="B21" s="10" t="s">
        <v>85</v>
      </c>
      <c r="C21" s="11">
        <v>2.0</v>
      </c>
      <c r="D21" s="16" t="s">
        <v>86</v>
      </c>
      <c r="E21" s="12" t="s">
        <v>87</v>
      </c>
      <c r="F21" s="12" t="s">
        <v>88</v>
      </c>
      <c r="G21" s="10" t="s">
        <v>89</v>
      </c>
      <c r="H21" s="13" t="s">
        <v>24</v>
      </c>
      <c r="I21" s="9" t="s">
        <v>18</v>
      </c>
      <c r="J21" s="15">
        <v>0.29</v>
      </c>
      <c r="K21" s="14">
        <f t="shared" si="1"/>
        <v>0.58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9">
        <v>18.0</v>
      </c>
      <c r="B22" s="10" t="s">
        <v>90</v>
      </c>
      <c r="C22" s="11">
        <v>6.0</v>
      </c>
      <c r="D22" s="12" t="s">
        <v>91</v>
      </c>
      <c r="E22" s="12" t="s">
        <v>92</v>
      </c>
      <c r="F22" s="12" t="s">
        <v>93</v>
      </c>
      <c r="G22" s="10" t="s">
        <v>94</v>
      </c>
      <c r="H22" s="13" t="s">
        <v>24</v>
      </c>
      <c r="I22" s="9" t="s">
        <v>18</v>
      </c>
      <c r="J22" s="15">
        <v>9.0E-4</v>
      </c>
      <c r="K22" s="14">
        <f t="shared" si="1"/>
        <v>0.0054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9">
        <v>19.0</v>
      </c>
      <c r="B23" s="10" t="s">
        <v>95</v>
      </c>
      <c r="C23" s="11">
        <v>2.0</v>
      </c>
      <c r="D23" s="12" t="s">
        <v>49</v>
      </c>
      <c r="E23" s="12" t="s">
        <v>96</v>
      </c>
      <c r="F23" s="12" t="s">
        <v>97</v>
      </c>
      <c r="G23" s="10" t="s">
        <v>94</v>
      </c>
      <c r="H23" s="13" t="s">
        <v>24</v>
      </c>
      <c r="I23" s="9" t="s">
        <v>18</v>
      </c>
      <c r="J23" s="15">
        <v>0.1</v>
      </c>
      <c r="K23" s="14">
        <f t="shared" si="1"/>
        <v>0.2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9">
        <v>20.0</v>
      </c>
      <c r="B24" s="10" t="s">
        <v>98</v>
      </c>
      <c r="C24" s="11">
        <v>3.0</v>
      </c>
      <c r="D24" s="12" t="s">
        <v>49</v>
      </c>
      <c r="E24" s="12" t="s">
        <v>99</v>
      </c>
      <c r="F24" s="12" t="s">
        <v>100</v>
      </c>
      <c r="G24" s="10" t="s">
        <v>94</v>
      </c>
      <c r="H24" s="13" t="s">
        <v>24</v>
      </c>
      <c r="I24" s="9" t="s">
        <v>18</v>
      </c>
      <c r="J24" s="15">
        <v>0.009</v>
      </c>
      <c r="K24" s="14">
        <f t="shared" si="1"/>
        <v>0.027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9">
        <v>21.0</v>
      </c>
      <c r="B25" s="10" t="s">
        <v>101</v>
      </c>
      <c r="C25" s="11">
        <v>1.0</v>
      </c>
      <c r="D25" s="17"/>
      <c r="E25" s="17"/>
      <c r="F25" s="18" t="s">
        <v>102</v>
      </c>
      <c r="G25" s="18" t="s">
        <v>94</v>
      </c>
      <c r="H25" s="19" t="s">
        <v>24</v>
      </c>
      <c r="I25" s="20" t="s">
        <v>103</v>
      </c>
      <c r="J25" s="21"/>
      <c r="K25" s="14">
        <f t="shared" si="1"/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9">
        <v>22.0</v>
      </c>
      <c r="B26" s="10" t="s">
        <v>104</v>
      </c>
      <c r="C26" s="11">
        <v>1.0</v>
      </c>
      <c r="D26" s="12" t="s">
        <v>49</v>
      </c>
      <c r="E26" s="12" t="s">
        <v>105</v>
      </c>
      <c r="F26" s="12" t="s">
        <v>106</v>
      </c>
      <c r="G26" s="10" t="s">
        <v>94</v>
      </c>
      <c r="H26" s="13" t="s">
        <v>24</v>
      </c>
      <c r="I26" s="9" t="s">
        <v>18</v>
      </c>
      <c r="J26" s="15">
        <v>0.1</v>
      </c>
      <c r="K26" s="14">
        <f t="shared" si="1"/>
        <v>0.1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9">
        <v>23.0</v>
      </c>
      <c r="B27" s="10" t="s">
        <v>107</v>
      </c>
      <c r="C27" s="11">
        <v>1.0</v>
      </c>
      <c r="D27" s="12" t="s">
        <v>49</v>
      </c>
      <c r="E27" s="12" t="s">
        <v>108</v>
      </c>
      <c r="F27" s="12" t="s">
        <v>109</v>
      </c>
      <c r="G27" s="10" t="s">
        <v>94</v>
      </c>
      <c r="H27" s="13" t="s">
        <v>24</v>
      </c>
      <c r="I27" s="9" t="s">
        <v>18</v>
      </c>
      <c r="J27" s="15">
        <v>0.1</v>
      </c>
      <c r="K27" s="14">
        <f t="shared" si="1"/>
        <v>0.1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9">
        <v>24.0</v>
      </c>
      <c r="B28" s="10" t="s">
        <v>110</v>
      </c>
      <c r="C28" s="11">
        <v>8.0</v>
      </c>
      <c r="D28" s="12" t="s">
        <v>91</v>
      </c>
      <c r="E28" s="12" t="s">
        <v>111</v>
      </c>
      <c r="F28" s="12" t="s">
        <v>112</v>
      </c>
      <c r="G28" s="10" t="s">
        <v>94</v>
      </c>
      <c r="H28" s="13" t="s">
        <v>24</v>
      </c>
      <c r="I28" s="9" t="s">
        <v>18</v>
      </c>
      <c r="J28" s="15">
        <v>0.001</v>
      </c>
      <c r="K28" s="14">
        <f t="shared" si="1"/>
        <v>0.008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9">
        <v>25.0</v>
      </c>
      <c r="B29" s="10" t="s">
        <v>113</v>
      </c>
      <c r="C29" s="11">
        <v>2.0</v>
      </c>
      <c r="D29" s="12" t="s">
        <v>49</v>
      </c>
      <c r="E29" s="12" t="s">
        <v>114</v>
      </c>
      <c r="F29" s="12" t="s">
        <v>115</v>
      </c>
      <c r="G29" s="10" t="s">
        <v>94</v>
      </c>
      <c r="H29" s="13" t="s">
        <v>24</v>
      </c>
      <c r="I29" s="9" t="s">
        <v>18</v>
      </c>
      <c r="J29" s="15">
        <v>0.0013</v>
      </c>
      <c r="K29" s="14">
        <f t="shared" si="1"/>
        <v>0.0026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9">
        <v>26.0</v>
      </c>
      <c r="B30" s="10" t="s">
        <v>116</v>
      </c>
      <c r="C30" s="11">
        <v>4.0</v>
      </c>
      <c r="D30" s="12" t="s">
        <v>49</v>
      </c>
      <c r="E30" s="12" t="s">
        <v>117</v>
      </c>
      <c r="F30" s="12" t="s">
        <v>118</v>
      </c>
      <c r="G30" s="10" t="s">
        <v>94</v>
      </c>
      <c r="H30" s="13" t="s">
        <v>24</v>
      </c>
      <c r="I30" s="9" t="s">
        <v>18</v>
      </c>
      <c r="J30" s="15">
        <v>0.009</v>
      </c>
      <c r="K30" s="14">
        <f t="shared" si="1"/>
        <v>0.036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9">
        <v>27.0</v>
      </c>
      <c r="B31" s="10" t="s">
        <v>119</v>
      </c>
      <c r="C31" s="11">
        <v>4.0</v>
      </c>
      <c r="D31" s="22" t="s">
        <v>120</v>
      </c>
      <c r="E31" s="22" t="s">
        <v>121</v>
      </c>
      <c r="F31" s="22" t="s">
        <v>122</v>
      </c>
      <c r="G31" s="10" t="s">
        <v>94</v>
      </c>
      <c r="H31" s="13" t="s">
        <v>24</v>
      </c>
      <c r="I31" s="9" t="s">
        <v>18</v>
      </c>
      <c r="J31" s="15">
        <v>0.0911</v>
      </c>
      <c r="K31" s="14">
        <f t="shared" si="1"/>
        <v>0.3644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9">
        <v>28.0</v>
      </c>
      <c r="B32" s="10" t="s">
        <v>123</v>
      </c>
      <c r="C32" s="11">
        <v>1.0</v>
      </c>
      <c r="D32" s="23" t="s">
        <v>124</v>
      </c>
      <c r="E32" s="23" t="s">
        <v>125</v>
      </c>
      <c r="F32" s="23" t="s">
        <v>126</v>
      </c>
      <c r="G32" s="10" t="s">
        <v>94</v>
      </c>
      <c r="H32" s="13" t="s">
        <v>24</v>
      </c>
      <c r="I32" s="9" t="s">
        <v>18</v>
      </c>
      <c r="J32" s="15">
        <v>0.1</v>
      </c>
      <c r="K32" s="14">
        <f t="shared" si="1"/>
        <v>0.1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9">
        <v>29.0</v>
      </c>
      <c r="B33" s="10" t="s">
        <v>127</v>
      </c>
      <c r="C33" s="11">
        <v>1.0</v>
      </c>
      <c r="D33" s="16" t="s">
        <v>128</v>
      </c>
      <c r="E33" s="12" t="s">
        <v>129</v>
      </c>
      <c r="F33" s="12" t="s">
        <v>130</v>
      </c>
      <c r="G33" s="10" t="s">
        <v>131</v>
      </c>
      <c r="H33" s="13" t="s">
        <v>24</v>
      </c>
      <c r="I33" s="9" t="s">
        <v>18</v>
      </c>
      <c r="J33" s="15">
        <v>0.1259</v>
      </c>
      <c r="K33" s="14">
        <f t="shared" si="1"/>
        <v>0.1259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9">
        <v>30.0</v>
      </c>
      <c r="B34" s="10" t="s">
        <v>132</v>
      </c>
      <c r="C34" s="11">
        <v>1.0</v>
      </c>
      <c r="D34" s="16" t="s">
        <v>133</v>
      </c>
      <c r="E34" s="12" t="s">
        <v>134</v>
      </c>
      <c r="F34" s="12" t="s">
        <v>135</v>
      </c>
      <c r="G34" s="10" t="s">
        <v>136</v>
      </c>
      <c r="H34" s="13" t="s">
        <v>24</v>
      </c>
      <c r="I34" s="9" t="s">
        <v>18</v>
      </c>
      <c r="J34" s="15">
        <v>12.71</v>
      </c>
      <c r="K34" s="14">
        <f t="shared" si="1"/>
        <v>12.71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9">
        <v>31.0</v>
      </c>
      <c r="B35" s="10" t="s">
        <v>137</v>
      </c>
      <c r="C35" s="11">
        <v>1.0</v>
      </c>
      <c r="D35" s="16" t="s">
        <v>138</v>
      </c>
      <c r="E35" s="12" t="s">
        <v>139</v>
      </c>
      <c r="F35" s="12" t="s">
        <v>140</v>
      </c>
      <c r="G35" s="10" t="s">
        <v>141</v>
      </c>
      <c r="H35" s="13" t="s">
        <v>24</v>
      </c>
      <c r="I35" s="9" t="s">
        <v>18</v>
      </c>
      <c r="J35" s="15">
        <v>0.5242</v>
      </c>
      <c r="K35" s="14">
        <f t="shared" si="1"/>
        <v>0.5242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9">
        <v>32.0</v>
      </c>
      <c r="B36" s="10" t="s">
        <v>142</v>
      </c>
      <c r="C36" s="11">
        <v>1.0</v>
      </c>
      <c r="D36" s="16" t="s">
        <v>143</v>
      </c>
      <c r="E36" s="12" t="s">
        <v>144</v>
      </c>
      <c r="F36" s="12" t="s">
        <v>145</v>
      </c>
      <c r="G36" s="10" t="s">
        <v>146</v>
      </c>
      <c r="H36" s="13" t="s">
        <v>24</v>
      </c>
      <c r="I36" s="9" t="s">
        <v>18</v>
      </c>
      <c r="J36" s="15">
        <v>6.564</v>
      </c>
      <c r="K36" s="14">
        <f t="shared" si="1"/>
        <v>6.564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9">
        <v>33.0</v>
      </c>
      <c r="B37" s="10" t="s">
        <v>147</v>
      </c>
      <c r="C37" s="11">
        <v>1.0</v>
      </c>
      <c r="D37" s="16" t="s">
        <v>148</v>
      </c>
      <c r="E37" s="12" t="s">
        <v>149</v>
      </c>
      <c r="F37" s="12" t="s">
        <v>150</v>
      </c>
      <c r="G37" s="10" t="s">
        <v>151</v>
      </c>
      <c r="H37" s="13" t="s">
        <v>24</v>
      </c>
      <c r="I37" s="9" t="s">
        <v>18</v>
      </c>
      <c r="J37" s="15">
        <v>2.19</v>
      </c>
      <c r="K37" s="14">
        <f t="shared" si="1"/>
        <v>2.19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9">
        <v>34.0</v>
      </c>
      <c r="B38" s="10" t="s">
        <v>152</v>
      </c>
      <c r="C38" s="11">
        <v>1.0</v>
      </c>
      <c r="D38" s="16" t="s">
        <v>153</v>
      </c>
      <c r="E38" s="12" t="s">
        <v>154</v>
      </c>
      <c r="F38" s="12" t="s">
        <v>155</v>
      </c>
      <c r="G38" s="10" t="s">
        <v>156</v>
      </c>
      <c r="H38" s="13" t="s">
        <v>24</v>
      </c>
      <c r="I38" s="9" t="s">
        <v>18</v>
      </c>
      <c r="J38" s="15">
        <v>0.96</v>
      </c>
      <c r="K38" s="14">
        <f t="shared" si="1"/>
        <v>0.96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9">
        <v>35.0</v>
      </c>
      <c r="B39" s="10" t="s">
        <v>157</v>
      </c>
      <c r="C39" s="11">
        <v>1.0</v>
      </c>
      <c r="D39" s="16" t="s">
        <v>153</v>
      </c>
      <c r="E39" s="12" t="s">
        <v>158</v>
      </c>
      <c r="F39" s="12" t="s">
        <v>159</v>
      </c>
      <c r="G39" s="10" t="s">
        <v>156</v>
      </c>
      <c r="H39" s="13" t="s">
        <v>24</v>
      </c>
      <c r="I39" s="9" t="s">
        <v>18</v>
      </c>
      <c r="J39" s="15">
        <v>0.71</v>
      </c>
      <c r="K39" s="14">
        <f t="shared" si="1"/>
        <v>0.71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9">
        <v>36.0</v>
      </c>
      <c r="B40" s="10" t="s">
        <v>160</v>
      </c>
      <c r="C40" s="11">
        <v>1.0</v>
      </c>
      <c r="D40" s="16" t="s">
        <v>161</v>
      </c>
      <c r="E40" s="12" t="s">
        <v>162</v>
      </c>
      <c r="F40" s="12" t="s">
        <v>163</v>
      </c>
      <c r="G40" s="10" t="s">
        <v>164</v>
      </c>
      <c r="H40" s="13" t="s">
        <v>24</v>
      </c>
      <c r="I40" s="9" t="s">
        <v>18</v>
      </c>
      <c r="J40" s="15">
        <v>5.19</v>
      </c>
      <c r="K40" s="14">
        <f t="shared" si="1"/>
        <v>5.19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9">
        <v>37.0</v>
      </c>
      <c r="B41" s="10" t="s">
        <v>165</v>
      </c>
      <c r="C41" s="11">
        <v>1.0</v>
      </c>
      <c r="D41" s="16" t="s">
        <v>153</v>
      </c>
      <c r="E41" s="12" t="s">
        <v>166</v>
      </c>
      <c r="F41" s="12" t="s">
        <v>167</v>
      </c>
      <c r="G41" s="10" t="s">
        <v>168</v>
      </c>
      <c r="H41" s="13" t="s">
        <v>24</v>
      </c>
      <c r="I41" s="9" t="s">
        <v>18</v>
      </c>
      <c r="J41" s="15">
        <v>0.35</v>
      </c>
      <c r="K41" s="14">
        <f t="shared" si="1"/>
        <v>0.35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9">
        <v>38.0</v>
      </c>
      <c r="B42" s="10" t="s">
        <v>169</v>
      </c>
      <c r="C42" s="11">
        <v>1.0</v>
      </c>
      <c r="D42" s="16" t="s">
        <v>133</v>
      </c>
      <c r="E42" s="12" t="s">
        <v>170</v>
      </c>
      <c r="F42" s="12" t="s">
        <v>171</v>
      </c>
      <c r="G42" s="10" t="s">
        <v>172</v>
      </c>
      <c r="H42" s="13" t="s">
        <v>24</v>
      </c>
      <c r="I42" s="9" t="s">
        <v>18</v>
      </c>
      <c r="J42" s="15">
        <v>0.97</v>
      </c>
      <c r="K42" s="14">
        <f t="shared" si="1"/>
        <v>0.97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9">
        <v>39.0</v>
      </c>
      <c r="B43" s="10" t="s">
        <v>173</v>
      </c>
      <c r="C43" s="11">
        <v>1.0</v>
      </c>
      <c r="D43" s="16" t="s">
        <v>174</v>
      </c>
      <c r="E43" s="12" t="s">
        <v>175</v>
      </c>
      <c r="F43" s="12" t="s">
        <v>176</v>
      </c>
      <c r="G43" s="10" t="s">
        <v>177</v>
      </c>
      <c r="H43" s="13" t="s">
        <v>24</v>
      </c>
      <c r="I43" s="9" t="s">
        <v>18</v>
      </c>
      <c r="J43" s="15">
        <v>0.2234</v>
      </c>
      <c r="K43" s="14">
        <f t="shared" si="1"/>
        <v>0.2234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9">
        <v>40.0</v>
      </c>
      <c r="B44" s="10" t="s">
        <v>178</v>
      </c>
      <c r="C44" s="11">
        <v>1.0</v>
      </c>
      <c r="D44" s="16" t="s">
        <v>179</v>
      </c>
      <c r="E44" s="12" t="s">
        <v>180</v>
      </c>
      <c r="F44" s="12" t="s">
        <v>181</v>
      </c>
      <c r="G44" s="10" t="s">
        <v>182</v>
      </c>
      <c r="H44" s="13" t="s">
        <v>24</v>
      </c>
      <c r="I44" s="9" t="s">
        <v>18</v>
      </c>
      <c r="J44" s="15">
        <v>0.0609</v>
      </c>
      <c r="K44" s="14">
        <f t="shared" si="1"/>
        <v>0.0609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9">
        <v>41.0</v>
      </c>
      <c r="B45" s="10" t="s">
        <v>183</v>
      </c>
      <c r="C45" s="11">
        <v>1.0</v>
      </c>
      <c r="D45" s="16" t="s">
        <v>184</v>
      </c>
      <c r="E45" s="12" t="s">
        <v>185</v>
      </c>
      <c r="F45" s="12" t="s">
        <v>186</v>
      </c>
      <c r="G45" s="10" t="s">
        <v>182</v>
      </c>
      <c r="H45" s="13" t="s">
        <v>24</v>
      </c>
      <c r="I45" s="9" t="s">
        <v>18</v>
      </c>
      <c r="J45" s="15">
        <v>0.23</v>
      </c>
      <c r="K45" s="14">
        <f t="shared" si="1"/>
        <v>0.23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9">
        <v>42.0</v>
      </c>
      <c r="B46" s="10" t="s">
        <v>187</v>
      </c>
      <c r="C46" s="11">
        <v>1.0</v>
      </c>
      <c r="D46" s="16" t="s">
        <v>188</v>
      </c>
      <c r="E46" s="12" t="s">
        <v>189</v>
      </c>
      <c r="F46" s="12" t="s">
        <v>190</v>
      </c>
      <c r="G46" s="10" t="s">
        <v>191</v>
      </c>
      <c r="H46" s="13" t="s">
        <v>24</v>
      </c>
      <c r="I46" s="9" t="s">
        <v>18</v>
      </c>
      <c r="J46" s="15">
        <v>0.28</v>
      </c>
      <c r="K46" s="14">
        <f t="shared" si="1"/>
        <v>0.28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F48" s="2"/>
      <c r="G48" s="2"/>
      <c r="H48" s="2"/>
      <c r="I48" s="24" t="s">
        <v>192</v>
      </c>
      <c r="J48" s="25"/>
      <c r="K48" s="26">
        <f>SUM(K2:K46)</f>
        <v>41.4326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F49" s="2"/>
      <c r="G49" s="2"/>
      <c r="H49" s="2"/>
      <c r="I49" s="27" t="s">
        <v>193</v>
      </c>
      <c r="J49" s="25"/>
      <c r="K49" s="26">
        <v>1.0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F50" s="2"/>
      <c r="G50" s="2"/>
      <c r="H50" s="2"/>
      <c r="I50" s="2"/>
      <c r="J50" s="28" t="s">
        <v>194</v>
      </c>
      <c r="K50" s="26">
        <f>K48+K49</f>
        <v>42.4326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9"/>
      <c r="B78" s="29"/>
      <c r="C78" s="29"/>
      <c r="D78" s="29"/>
      <c r="E78" s="2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9"/>
      <c r="B79" s="29"/>
      <c r="C79" s="29"/>
      <c r="D79" s="29"/>
      <c r="E79" s="2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9"/>
      <c r="B80" s="29"/>
      <c r="C80" s="29"/>
      <c r="D80" s="29"/>
      <c r="E80" s="2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9"/>
      <c r="B81" s="29"/>
      <c r="C81" s="29"/>
      <c r="D81" s="29"/>
      <c r="E81" s="2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9"/>
      <c r="B82" s="29"/>
      <c r="C82" s="29"/>
      <c r="D82" s="29"/>
      <c r="E82" s="2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9"/>
      <c r="B83" s="29"/>
      <c r="C83" s="29"/>
      <c r="D83" s="29"/>
      <c r="E83" s="2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9"/>
      <c r="B84" s="29"/>
      <c r="C84" s="29"/>
      <c r="D84" s="29"/>
      <c r="E84" s="2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9"/>
      <c r="B85" s="29"/>
      <c r="C85" s="29"/>
      <c r="D85" s="29"/>
      <c r="E85" s="2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9"/>
      <c r="B86" s="29"/>
      <c r="C86" s="29"/>
      <c r="D86" s="29"/>
      <c r="E86" s="2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9"/>
      <c r="B87" s="29"/>
      <c r="C87" s="29"/>
      <c r="D87" s="29"/>
      <c r="E87" s="2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9"/>
      <c r="B88" s="29"/>
      <c r="C88" s="29"/>
      <c r="D88" s="29"/>
      <c r="E88" s="2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9"/>
      <c r="B89" s="29"/>
      <c r="C89" s="29"/>
      <c r="D89" s="29"/>
      <c r="E89" s="2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9"/>
      <c r="B90" s="29"/>
      <c r="C90" s="29"/>
      <c r="D90" s="29"/>
      <c r="E90" s="2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9"/>
      <c r="B91" s="29"/>
      <c r="C91" s="29"/>
      <c r="D91" s="29"/>
      <c r="E91" s="2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9"/>
      <c r="B92" s="29"/>
      <c r="C92" s="29"/>
      <c r="D92" s="29"/>
      <c r="E92" s="2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9"/>
      <c r="B93" s="29"/>
      <c r="C93" s="29"/>
      <c r="D93" s="29"/>
      <c r="E93" s="2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9"/>
      <c r="B94" s="29"/>
      <c r="C94" s="29"/>
      <c r="D94" s="29"/>
      <c r="E94" s="2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9"/>
      <c r="B95" s="29"/>
      <c r="C95" s="29"/>
      <c r="D95" s="29"/>
      <c r="E95" s="2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9"/>
      <c r="B96" s="29"/>
      <c r="C96" s="29"/>
      <c r="D96" s="29"/>
      <c r="E96" s="2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9"/>
      <c r="B97" s="29"/>
      <c r="C97" s="29"/>
      <c r="D97" s="29"/>
      <c r="E97" s="2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9"/>
      <c r="B98" s="29"/>
      <c r="C98" s="29"/>
      <c r="D98" s="29"/>
      <c r="E98" s="2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9"/>
      <c r="B99" s="29"/>
      <c r="C99" s="29"/>
      <c r="D99" s="29"/>
      <c r="E99" s="2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9"/>
      <c r="B100" s="29"/>
      <c r="C100" s="29"/>
      <c r="D100" s="29"/>
      <c r="E100" s="2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9"/>
      <c r="B101" s="29"/>
      <c r="C101" s="29"/>
      <c r="D101" s="29"/>
      <c r="E101" s="2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9"/>
      <c r="B102" s="29"/>
      <c r="C102" s="29"/>
      <c r="D102" s="29"/>
      <c r="E102" s="2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9"/>
      <c r="B103" s="29"/>
      <c r="C103" s="29"/>
      <c r="D103" s="29"/>
      <c r="E103" s="2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9"/>
      <c r="B104" s="29"/>
      <c r="C104" s="29"/>
      <c r="D104" s="29"/>
      <c r="E104" s="2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9"/>
      <c r="B105" s="29"/>
      <c r="C105" s="29"/>
      <c r="D105" s="29"/>
      <c r="E105" s="2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9"/>
      <c r="B106" s="29"/>
      <c r="C106" s="29"/>
      <c r="D106" s="29"/>
      <c r="E106" s="2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9"/>
      <c r="B107" s="29"/>
      <c r="C107" s="29"/>
      <c r="D107" s="29"/>
      <c r="E107" s="2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9"/>
      <c r="B108" s="29"/>
      <c r="C108" s="29"/>
      <c r="D108" s="29"/>
      <c r="E108" s="2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9"/>
      <c r="B109" s="29"/>
      <c r="C109" s="29"/>
      <c r="D109" s="29"/>
      <c r="E109" s="2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9"/>
      <c r="B110" s="29"/>
      <c r="C110" s="29"/>
      <c r="D110" s="29"/>
      <c r="E110" s="2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9"/>
      <c r="B111" s="29"/>
      <c r="C111" s="29"/>
      <c r="D111" s="29"/>
      <c r="E111" s="2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9"/>
      <c r="B112" s="29"/>
      <c r="C112" s="29"/>
      <c r="D112" s="29"/>
      <c r="E112" s="2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9"/>
      <c r="B113" s="29"/>
      <c r="C113" s="29"/>
      <c r="D113" s="29"/>
      <c r="E113" s="2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9"/>
      <c r="B114" s="29"/>
      <c r="C114" s="29"/>
      <c r="D114" s="29"/>
      <c r="E114" s="2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9"/>
      <c r="B115" s="29"/>
      <c r="C115" s="29"/>
      <c r="D115" s="29"/>
      <c r="E115" s="2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mergeCells count="3">
    <mergeCell ref="D1:F3"/>
    <mergeCell ref="I48:J48"/>
    <mergeCell ref="I49:J49"/>
  </mergeCells>
  <printOptions/>
  <pageMargins bottom="0.75" footer="0.0" header="0.0" left="0.699305555555556" right="0.699305555555556" top="0.75"/>
  <pageSetup paperSize="9" orientation="portrait"/>
  <drawing r:id="rId1"/>
</worksheet>
</file>